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s" sheetId="1" state="visible" r:id="rId3"/>
    <sheet name="Summary" sheetId="2" state="visible" r:id="rId4"/>
    <sheet name="Upgrade Trigg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<sst xmlns="http://schemas.openxmlformats.org/spreadsheetml/2006/main" count="164" uniqueCount="143">
  <si>
    <t xml:space="preserve">App &amp; Subscription Audit — Richard Posada / CheeseShop TECH</t>
  </si>
  <si>
    <t xml:space="preserve">Prepared 2026-07-17 · Sources: live account checks (Cloudinary, Make, Netlify, HubSpot), Gmail sweep, CST repo dependency audit</t>
  </si>
  <si>
    <t xml:space="preserve">Service</t>
  </si>
  <si>
    <t xml:space="preserve">Category</t>
  </si>
  <si>
    <t xml:space="preserve">Plan (verified where possible)</t>
  </si>
  <si>
    <t xml:space="preserve">Status</t>
  </si>
  <si>
    <t xml:space="preserve">Monthly $</t>
  </si>
  <si>
    <t xml:space="preserve">Annual $</t>
  </si>
  <si>
    <t xml:space="preserve">Needed for CST dev?</t>
  </si>
  <si>
    <t xml:space="preserve">Recommendation</t>
  </si>
  <si>
    <t xml:space="preserve">Notes</t>
  </si>
  <si>
    <t xml:space="preserve">Claude (Anthropic)</t>
  </si>
  <si>
    <t xml:space="preserve">AI / Development</t>
  </si>
  <si>
    <t xml:space="preserve">Max 5x</t>
  </si>
  <si>
    <t xml:space="preserve">Confirmed paying</t>
  </si>
  <si>
    <t xml:space="preserve">ESSENTIAL</t>
  </si>
  <si>
    <t xml:space="preserve">KEEP</t>
  </si>
  <si>
    <t xml:space="preserve">The development engine: Cowork sessions build and maintain the entire CST platform. Confirmed by Rick 2026-07-17.</t>
  </si>
  <si>
    <t xml:space="preserve">HubSpot ('Cheese shop studio')</t>
  </si>
  <si>
    <t xml:space="preserve">Marketing / CRM</t>
  </si>
  <si>
    <t xml:space="preserve">Starter (Sales + Service Starter seats)</t>
  </si>
  <si>
    <t xml:space="preserve">Confirmed — $10.89 from statement (Rick, 7/17)</t>
  </si>
  <si>
    <t xml:space="preserve">YES — revenue work</t>
  </si>
  <si>
    <t xml:space="preserve">Powers the Opportunity Engine: 697 live contacts, Asiago campaign, channel tags. Seats verified via API; exact charge confirmed from Rick's statement. Excellent value at this price.</t>
  </si>
  <si>
    <t xml:space="preserve">Adobe</t>
  </si>
  <si>
    <t xml:space="preserve">Design</t>
  </si>
  <si>
    <t xml:space="preserve">Photography plan — $19.99 + tax/fees = $21.76</t>
  </si>
  <si>
    <t xml:space="preserve">Confirmed — switched 7/17, charge from statement</t>
  </si>
  <si>
    <t xml:space="preserve">YES — content work</t>
  </si>
  <si>
    <t xml:space="preserve">DONE — switched 7/17</t>
  </si>
  <si>
    <t xml:space="preserve">Downgraded from CC to Photography plan 2026-07-17. Covers Rick's real usage: Photoshop, Lightroom, Express Premium, Firefly credits. Acrobat Pro NOT included — free Reader + Claude cover PDF work. Content workhorse until the CST Content Engine + Media Hub take over.</t>
  </si>
  <si>
    <t xml:space="preserve">Notion</t>
  </si>
  <si>
    <t xml:space="preserve">Productivity</t>
  </si>
  <si>
    <t xml:space="preserve">Free plan</t>
  </si>
  <si>
    <t xml:space="preserve">DOWNGRADED to Free 2026-07-17</t>
  </si>
  <si>
    <t xml:space="preserve">NO</t>
  </si>
  <si>
    <t xml:space="preserve">DONE — moved to Free</t>
  </si>
  <si>
    <t xml:space="preserve">Rick moved to the free Notion plan 7/17. Zero CST usage, so nothing lost.</t>
  </si>
  <si>
    <t xml:space="preserve">Domain: cheeseshoptech.com</t>
  </si>
  <si>
    <t xml:space="preserve">Infrastructure</t>
  </si>
  <si>
    <t xml:space="preserve">Registrar + Cloudflare Free</t>
  </si>
  <si>
    <t xml:space="preserve">Assumed paying (annual)</t>
  </si>
  <si>
    <t xml:space="preserve">KEEP — check auto-renew ON</t>
  </si>
  <si>
    <t xml:space="preserve">~$18/yr amortized. LAUNCH_AND_MAINTENANCE.md still shows auto-renew unconfirmed. Cloudflare itself is on Free.</t>
  </si>
  <si>
    <t xml:space="preserve">Netlify Pro (rick-posada's team)</t>
  </si>
  <si>
    <t xml:space="preserve">Hosting</t>
  </si>
  <si>
    <t xml:space="preserve">Pro — legacy $20/mo + tax = $21.78 (verified in dashboard 7/17)</t>
  </si>
  <si>
    <t xml:space="preserve">Confirmed paying (statement + dashboard)</t>
  </si>
  <si>
    <t xml:space="preserve">KEEP — legacy price</t>
  </si>
  <si>
    <t xml:space="preserve">PRODUCTION site cheeseshoptech.com (GitHub-connected) lives here. 67 deploys burned 1,005 credits in 17 days — Free (300/mo) and Personal (1,000/mo) are too small for the dev cadence. New Pro costs $33, so the legacy $20 is a keeper. Jun 18 charge was a ONE-TIME 3,000-credit pack, still 100% unused — never buy credits again. Second free team (sales-jz656hi, Monti Gmail) also exists. Cleanup: old Drop projects (cheers626, solong3852e6, mt-ig-ffs-story, etc.) can be deleted.</t>
  </si>
  <si>
    <t xml:space="preserve">Cloudinary</t>
  </si>
  <si>
    <t xml:space="preserve">Media</t>
  </si>
  <si>
    <t xml:space="preserve">Free — 2.8 of 25 credits (11.2%)</t>
  </si>
  <si>
    <t xml:space="preserve">Verified free</t>
  </si>
  <si>
    <t xml:space="preserve">KEEP FREE</t>
  </si>
  <si>
    <t xml:space="preserve">Media Hub + items.json source of truth. 381 assets, 700MB storage. Big headroom; Plus (~$89/mo) is a distant trigger.</t>
  </si>
  <si>
    <t xml:space="preserve">Make.com</t>
  </si>
  <si>
    <t xml:space="preserve">Automation</t>
  </si>
  <si>
    <t xml:space="preserve">Free — 1,000 ops, 2 scenarios</t>
  </si>
  <si>
    <t xml:space="preserve">MARGINAL</t>
  </si>
  <si>
    <t xml:space="preserve">CRM webhook path was deprecated in favor of direct Salesforce integration (INTEGRATIONS_PLAN.md). May never need paid.</t>
  </si>
  <si>
    <t xml:space="preserve">GitHub</t>
  </si>
  <si>
    <t xml:space="preserve">Dev infra</t>
  </si>
  <si>
    <t xml:space="preserve">Free</t>
  </si>
  <si>
    <t xml:space="preserve">Assumed free</t>
  </si>
  <si>
    <t xml:space="preserve">Private repo + push-to-deploy into Netlify. Free tier is sufficient.</t>
  </si>
  <si>
    <t xml:space="preserve">Gamma</t>
  </si>
  <si>
    <t xml:space="preserve">Presentations</t>
  </si>
  <si>
    <t xml:space="preserve">Confirmed not paying</t>
  </si>
  <si>
    <t xml:space="preserve">Deck generation is also covered by Claude (pptx skill).</t>
  </si>
  <si>
    <t xml:space="preserve">Firecrawl</t>
  </si>
  <si>
    <t xml:space="preserve">AI / web data</t>
  </si>
  <si>
    <t xml:space="preserve">Free — CREDITS EXHAUSTED</t>
  </si>
  <si>
    <t xml:space="preserve">NO (today)</t>
  </si>
  <si>
    <t xml:space="preserve">DECIDE: fund or drop</t>
  </si>
  <si>
    <t xml:space="preserve">Returned 402 payment-required on 2026-07-17. Only needed if the Opportunity Engine overnight market-news source gets built on it (~$16/mo hobby tier). Otherwise disconnect.</t>
  </si>
  <si>
    <t xml:space="preserve">Apify</t>
  </si>
  <si>
    <t xml:space="preserve">Starter $29 + tax = $31.58/mo (verified from billing page)</t>
  </si>
  <si>
    <t xml:space="preserve">Confirmed paying since 2026-04-15</t>
  </si>
  <si>
    <t xml:space="preserve">CANCELLED 2026-07-17</t>
  </si>
  <si>
    <t xml:space="preserve">Usage this period: $0.00 of $29, 0 MB RAM. Only activity ever: 4 small RAG Web Browser runs (Jul 3, via the Claude connector). ~$95 paid since April, essentially idle. CANCELLED 2026-07-17 (plan active until Aug 14, 2026; account drops to Free tier after). July invoice $31.58 still to be paid by Rick.</t>
  </si>
  <si>
    <t xml:space="preserve">Google Workspace (sales@montitrentini-usa.com)</t>
  </si>
  <si>
    <t xml:space="preserve">Email / Drive</t>
  </si>
  <si>
    <t xml:space="preserve">Paid by Monti Trentini USA</t>
  </si>
  <si>
    <t xml:space="preserve">Not your cost</t>
  </si>
  <si>
    <t xml:space="preserve">n/a</t>
  </si>
  <si>
    <t xml:space="preserve">NO ACTION</t>
  </si>
  <si>
    <t xml:space="preserve">Client's bill, not yours. Keep CST costs separate from Monti's.</t>
  </si>
  <si>
    <t xml:space="preserve">ZoomInfo</t>
  </si>
  <si>
    <t xml:space="preserve">Sales data</t>
  </si>
  <si>
    <t xml:space="preserve">NOT subscribed — active sales pursuit</t>
  </si>
  <si>
    <t xml:space="preserve">Not paying</t>
  </si>
  <si>
    <t xml:space="preserve">DO NOT BUY now</t>
  </si>
  <si>
    <t xml:space="preserve">John Guelfi (ZoomInfo rep) is actively pitching you by email. Typical contracts run $15k+/yr. HubSpot + Claude research covers current prospecting needs.</t>
  </si>
  <si>
    <t xml:space="preserve">Shopify</t>
  </si>
  <si>
    <t xml:space="preserve">E-commerce</t>
  </si>
  <si>
    <t xml:space="preserve">Not active</t>
  </si>
  <si>
    <t xml:space="preserve">Not paying yet</t>
  </si>
  <si>
    <t xml:space="preserve">FUTURE</t>
  </si>
  <si>
    <t xml:space="preserve">DEFER until D2C launch</t>
  </si>
  <si>
    <t xml:space="preserve">The .env has Shopify seams built but ecomm (D2C) is a later phase per wholesale-portal decision 2026-07-16. Basic ~$29-39/mo when live.</t>
  </si>
  <si>
    <t xml:space="preserve">TOTAL (current)</t>
  </si>
  <si>
    <t xml:space="preserve">Legend: blue = input numbers · yellow fill = estimate, confirm against your card/bank statement (billing goes to your Outlook inbox, not the Monti Gmail).</t>
  </si>
  <si>
    <t xml:space="preserve">Cost Summary</t>
  </si>
  <si>
    <t xml:space="preserve">Current monthly spend (as entered)</t>
  </si>
  <si>
    <t xml:space="preserve">Current annual run-rate</t>
  </si>
  <si>
    <t xml:space="preserve">Optimized scenario</t>
  </si>
  <si>
    <t xml:space="preserve">  Claude Max 5x (keep)</t>
  </si>
  <si>
    <t xml:space="preserve">  HubSpot Starter (keep)</t>
  </si>
  <si>
    <t xml:space="preserve">  Adobe Photography plan (incl. tax/fees)</t>
  </si>
  <si>
    <t xml:space="preserve">  Notion on Free plan</t>
  </si>
  <si>
    <t xml:space="preserve">  Netlify Pro (legacy pricing)</t>
  </si>
  <si>
    <t xml:space="preserve">  Domain (amortized)</t>
  </si>
  <si>
    <t xml:space="preserve">Optimized monthly total</t>
  </si>
  <si>
    <t xml:space="preserve">Optimized annual run-rate</t>
  </si>
  <si>
    <t xml:space="preserve">Monthly savings vs current</t>
  </si>
  <si>
    <t xml:space="preserve">Annual savings vs current</t>
  </si>
  <si>
    <t xml:space="preserve">Core dev burn to keep CheeseShop TECH building: Claude $100 + Netlify Pro $21.78 + domain ≈ $123.28/mo.</t>
  </si>
  <si>
    <t xml:space="preserve">HubSpot and Adobe are revenue/content spend, not build spend. All numbers confirmed from statements/dashboards 7/17.</t>
  </si>
  <si>
    <t xml:space="preserve">Future costs — what kicks in when (none needed today)</t>
  </si>
  <si>
    <t xml:space="preserve">Paid tier</t>
  </si>
  <si>
    <t xml:space="preserve">Trigger — upgrade only when...</t>
  </si>
  <si>
    <t xml:space="preserve">Phase</t>
  </si>
  <si>
    <t xml:space="preserve">Netlify</t>
  </si>
  <si>
    <t xml:space="preserve">Personal (DOWNgrade)</t>
  </si>
  <si>
    <t xml:space="preserve">Already on Pro (legacy $20). If dev cadence slows and deploy burn drops under ~1,000 credits/mo, Personal at $9 saves ~$13/mo — plus 3,000 banked credits cushion the transition</t>
  </si>
  <si>
    <t xml:space="preserve">Post-launch calm</t>
  </si>
  <si>
    <t xml:space="preserve">Basic</t>
  </si>
  <si>
    <t xml:space="preserve">D2C e-commerce phase actually launches (per 2026-07-16 decision, portal handles wholesale; ecomm = D2C only)</t>
  </si>
  <si>
    <t xml:space="preserve">E-comm launch</t>
  </si>
  <si>
    <t xml:space="preserve">Plus</t>
  </si>
  <si>
    <t xml:space="preserve">Multi-client media pushes past 25 credits/mo — you're at 11.2% with one client, so roughly 8-9 similar clients away</t>
  </si>
  <si>
    <t xml:space="preserve">Scale</t>
  </si>
  <si>
    <t xml:space="preserve">Core</t>
  </si>
  <si>
    <t xml:space="preserve">An automation genuinely needs &gt;1,000 ops/mo — unlikely given the direct-Salesforce decision</t>
  </si>
  <si>
    <t xml:space="preserve">Maybe never</t>
  </si>
  <si>
    <t xml:space="preserve">Hobby</t>
  </si>
  <si>
    <t xml:space="preserve">Opportunity Engine overnight market-news automation is built and needs scraping credits</t>
  </si>
  <si>
    <t xml:space="preserve">If news ships</t>
  </si>
  <si>
    <t xml:space="preserve">HubSpot</t>
  </si>
  <si>
    <t xml:space="preserve">Marketing Starter+</t>
  </si>
  <si>
    <t xml:space="preserve">Email volume outgrows Starter sends during campaign scaling</t>
  </si>
  <si>
    <t xml:space="preserve">Campaign scale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</si>
</sst>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CE4E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6.8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6" t="n">
        <v>100</v>
      </c>
      <c r="F5" s="7" t="n">
        <f aca="false">E5*12</f>
        <v>1200</v>
      </c>
      <c r="G5" s="5" t="s">
        <v>15</v>
      </c>
      <c r="H5" s="8" t="s">
        <v>16</v>
      </c>
      <c r="I5" s="9" t="s">
        <v>17</v>
      </c>
    </row>
    <row r="6" customFormat="false" ht="39.5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6" t="n">
        <v>10.89</v>
      </c>
      <c r="F6" s="7" t="n">
        <f aca="false">E6*12</f>
        <v>130.68</v>
      </c>
      <c r="G6" s="5" t="s">
        <v>22</v>
      </c>
      <c r="H6" s="8" t="s">
        <v>16</v>
      </c>
      <c r="I6" s="9" t="s">
        <v>23</v>
      </c>
    </row>
    <row r="7" customFormat="false" ht="43.25" hidden="false" customHeight="false" outlineLevel="0" collapsed="false">
      <c r="A7" s="4" t="s">
        <v>24</v>
      </c>
      <c r="B7" s="5" t="s">
        <v>25</v>
      </c>
      <c r="C7" s="5" t="s">
        <v>26</v>
      </c>
      <c r="D7" s="5" t="s">
        <v>27</v>
      </c>
      <c r="E7" s="6" t="n">
        <v>21.76</v>
      </c>
      <c r="F7" s="7" t="n">
        <f aca="false">E7*12</f>
        <v>261.12</v>
      </c>
      <c r="G7" s="5" t="s">
        <v>28</v>
      </c>
      <c r="H7" s="4" t="s">
        <v>29</v>
      </c>
      <c r="I7" s="9" t="s">
        <v>30</v>
      </c>
    </row>
    <row r="8" customFormat="false" ht="26.85" hidden="false" customHeight="false" outlineLevel="0" collapsed="false">
      <c r="A8" s="4" t="s">
        <v>31</v>
      </c>
      <c r="B8" s="5" t="s">
        <v>32</v>
      </c>
      <c r="C8" s="5" t="s">
        <v>33</v>
      </c>
      <c r="D8" s="5" t="s">
        <v>34</v>
      </c>
      <c r="E8" s="6" t="n">
        <v>0</v>
      </c>
      <c r="F8" s="7" t="n">
        <f aca="false">E8*12</f>
        <v>0</v>
      </c>
      <c r="G8" s="5" t="s">
        <v>35</v>
      </c>
      <c r="H8" s="4" t="s">
        <v>36</v>
      </c>
      <c r="I8" s="9" t="s">
        <v>37</v>
      </c>
    </row>
    <row r="9" customFormat="false" ht="26.85" hidden="false" customHeight="false" outlineLevel="0" collapsed="false">
      <c r="A9" s="4" t="s">
        <v>38</v>
      </c>
      <c r="B9" s="5" t="s">
        <v>39</v>
      </c>
      <c r="C9" s="5" t="s">
        <v>40</v>
      </c>
      <c r="D9" s="5" t="s">
        <v>41</v>
      </c>
      <c r="E9" s="10" t="n">
        <v>1.5</v>
      </c>
      <c r="F9" s="7" t="n">
        <f aca="false">E9*12</f>
        <v>18</v>
      </c>
      <c r="G9" s="5" t="s">
        <v>15</v>
      </c>
      <c r="H9" s="8" t="s">
        <v>42</v>
      </c>
      <c r="I9" s="9" t="s">
        <v>43</v>
      </c>
    </row>
    <row r="10" customFormat="false" ht="74.6" hidden="false" customHeight="false" outlineLevel="0" collapsed="false">
      <c r="A10" s="4" t="s">
        <v>44</v>
      </c>
      <c r="B10" s="5" t="s">
        <v>45</v>
      </c>
      <c r="C10" s="5" t="s">
        <v>46</v>
      </c>
      <c r="D10" s="5" t="s">
        <v>47</v>
      </c>
      <c r="E10" s="6" t="n">
        <v>21.78</v>
      </c>
      <c r="F10" s="7" t="n">
        <f aca="false">E10*12</f>
        <v>261.36</v>
      </c>
      <c r="G10" s="5" t="s">
        <v>15</v>
      </c>
      <c r="H10" s="8" t="s">
        <v>48</v>
      </c>
      <c r="I10" s="9" t="s">
        <v>49</v>
      </c>
    </row>
    <row r="11" customFormat="false" ht="26.85" hidden="false" customHeight="false" outlineLevel="0" collapsed="false">
      <c r="A11" s="4" t="s">
        <v>50</v>
      </c>
      <c r="B11" s="5" t="s">
        <v>51</v>
      </c>
      <c r="C11" s="5" t="s">
        <v>52</v>
      </c>
      <c r="D11" s="5" t="s">
        <v>53</v>
      </c>
      <c r="E11" s="6" t="n">
        <v>0</v>
      </c>
      <c r="F11" s="7" t="n">
        <f aca="false">E11*12</f>
        <v>0</v>
      </c>
      <c r="G11" s="5" t="s">
        <v>15</v>
      </c>
      <c r="H11" s="8" t="s">
        <v>54</v>
      </c>
      <c r="I11" s="9" t="s">
        <v>55</v>
      </c>
    </row>
    <row r="12" customFormat="false" ht="22.35" hidden="false" customHeight="false" outlineLevel="0" collapsed="false">
      <c r="A12" s="4" t="s">
        <v>56</v>
      </c>
      <c r="B12" s="5" t="s">
        <v>57</v>
      </c>
      <c r="C12" s="5" t="s">
        <v>58</v>
      </c>
      <c r="D12" s="5" t="s">
        <v>53</v>
      </c>
      <c r="E12" s="6" t="n">
        <v>0</v>
      </c>
      <c r="F12" s="7" t="n">
        <f aca="false">E12*12</f>
        <v>0</v>
      </c>
      <c r="G12" s="5" t="s">
        <v>59</v>
      </c>
      <c r="H12" s="8" t="s">
        <v>54</v>
      </c>
      <c r="I12" s="9" t="s">
        <v>60</v>
      </c>
    </row>
    <row r="13" customFormat="false" ht="15" hidden="false" customHeight="false" outlineLevel="0" collapsed="false">
      <c r="A13" s="4" t="s">
        <v>61</v>
      </c>
      <c r="B13" s="5" t="s">
        <v>62</v>
      </c>
      <c r="C13" s="5" t="s">
        <v>63</v>
      </c>
      <c r="D13" s="5" t="s">
        <v>64</v>
      </c>
      <c r="E13" s="6" t="n">
        <v>0</v>
      </c>
      <c r="F13" s="7" t="n">
        <f aca="false">E13*12</f>
        <v>0</v>
      </c>
      <c r="G13" s="5" t="s">
        <v>15</v>
      </c>
      <c r="H13" s="8" t="s">
        <v>54</v>
      </c>
      <c r="I13" s="9" t="s">
        <v>65</v>
      </c>
    </row>
    <row r="14" customFormat="false" ht="15" hidden="false" customHeight="false" outlineLevel="0" collapsed="false">
      <c r="A14" s="4" t="s">
        <v>66</v>
      </c>
      <c r="B14" s="5" t="s">
        <v>67</v>
      </c>
      <c r="C14" s="5" t="s">
        <v>63</v>
      </c>
      <c r="D14" s="5" t="s">
        <v>68</v>
      </c>
      <c r="E14" s="6" t="n">
        <v>0</v>
      </c>
      <c r="F14" s="7" t="n">
        <f aca="false">E14*12</f>
        <v>0</v>
      </c>
      <c r="G14" s="5" t="s">
        <v>35</v>
      </c>
      <c r="H14" s="8" t="s">
        <v>54</v>
      </c>
      <c r="I14" s="9" t="s">
        <v>69</v>
      </c>
    </row>
    <row r="15" customFormat="false" ht="32.8" hidden="false" customHeight="false" outlineLevel="0" collapsed="false">
      <c r="A15" s="4" t="s">
        <v>70</v>
      </c>
      <c r="B15" s="5" t="s">
        <v>71</v>
      </c>
      <c r="C15" s="5" t="s">
        <v>72</v>
      </c>
      <c r="D15" s="5" t="s">
        <v>53</v>
      </c>
      <c r="E15" s="6" t="n">
        <v>0</v>
      </c>
      <c r="F15" s="7" t="n">
        <f aca="false">E15*12</f>
        <v>0</v>
      </c>
      <c r="G15" s="5" t="s">
        <v>73</v>
      </c>
      <c r="H15" s="11" t="s">
        <v>74</v>
      </c>
      <c r="I15" s="9" t="s">
        <v>75</v>
      </c>
    </row>
    <row r="16" customFormat="false" ht="43.25" hidden="false" customHeight="false" outlineLevel="0" collapsed="false">
      <c r="A16" s="4" t="s">
        <v>76</v>
      </c>
      <c r="B16" s="5" t="s">
        <v>71</v>
      </c>
      <c r="C16" s="5" t="s">
        <v>77</v>
      </c>
      <c r="D16" s="5" t="s">
        <v>78</v>
      </c>
      <c r="E16" s="6" t="n">
        <v>31.58</v>
      </c>
      <c r="F16" s="7" t="n">
        <f aca="false">E16*12</f>
        <v>378.96</v>
      </c>
      <c r="G16" s="5" t="s">
        <v>35</v>
      </c>
      <c r="H16" s="4" t="s">
        <v>79</v>
      </c>
      <c r="I16" s="9" t="s">
        <v>80</v>
      </c>
    </row>
    <row r="17" customFormat="false" ht="39.55" hidden="false" customHeight="false" outlineLevel="0" collapsed="false">
      <c r="A17" s="4" t="s">
        <v>81</v>
      </c>
      <c r="B17" s="5" t="s">
        <v>82</v>
      </c>
      <c r="C17" s="5" t="s">
        <v>83</v>
      </c>
      <c r="D17" s="5" t="s">
        <v>84</v>
      </c>
      <c r="E17" s="6" t="n">
        <v>0</v>
      </c>
      <c r="F17" s="7" t="n">
        <f aca="false">E17*12</f>
        <v>0</v>
      </c>
      <c r="G17" s="5" t="s">
        <v>85</v>
      </c>
      <c r="H17" s="4" t="s">
        <v>86</v>
      </c>
      <c r="I17" s="9" t="s">
        <v>87</v>
      </c>
    </row>
    <row r="18" customFormat="false" ht="26.85" hidden="false" customHeight="false" outlineLevel="0" collapsed="false">
      <c r="A18" s="4" t="s">
        <v>88</v>
      </c>
      <c r="B18" s="5" t="s">
        <v>89</v>
      </c>
      <c r="C18" s="5" t="s">
        <v>90</v>
      </c>
      <c r="D18" s="5" t="s">
        <v>91</v>
      </c>
      <c r="E18" s="6" t="n">
        <v>0</v>
      </c>
      <c r="F18" s="7" t="n">
        <f aca="false">E18*12</f>
        <v>0</v>
      </c>
      <c r="G18" s="5" t="s">
        <v>35</v>
      </c>
      <c r="H18" s="11" t="s">
        <v>92</v>
      </c>
      <c r="I18" s="9" t="s">
        <v>93</v>
      </c>
    </row>
    <row r="19" customFormat="false" ht="22.35" hidden="false" customHeight="false" outlineLevel="0" collapsed="false">
      <c r="A19" s="4" t="s">
        <v>94</v>
      </c>
      <c r="B19" s="5" t="s">
        <v>95</v>
      </c>
      <c r="C19" s="5" t="s">
        <v>96</v>
      </c>
      <c r="D19" s="5" t="s">
        <v>97</v>
      </c>
      <c r="E19" s="6" t="n">
        <v>0</v>
      </c>
      <c r="F19" s="7" t="n">
        <f aca="false">E19*12</f>
        <v>0</v>
      </c>
      <c r="G19" s="5" t="s">
        <v>98</v>
      </c>
      <c r="H19" s="4" t="s">
        <v>99</v>
      </c>
      <c r="I19" s="9" t="s">
        <v>100</v>
      </c>
    </row>
    <row r="20" customFormat="false" ht="15" hidden="false" customHeight="false" outlineLevel="0" collapsed="false">
      <c r="A20" s="12"/>
      <c r="B20" s="12"/>
      <c r="C20" s="12"/>
      <c r="D20" s="13" t="s">
        <v>101</v>
      </c>
      <c r="E20" s="14" t="n">
        <f aca="false">SUM(E5:E19)</f>
        <v>187.51</v>
      </c>
      <c r="F20" s="14" t="n">
        <f aca="false">SUM(F5:F19)</f>
        <v>2250.12</v>
      </c>
      <c r="G20" s="12"/>
      <c r="H20" s="12"/>
      <c r="I20" s="12"/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15" t="s">
        <v>104</v>
      </c>
      <c r="B2" s="16" t="n">
        <f aca="false">Subscriptions!E20</f>
        <v>187.51</v>
      </c>
    </row>
    <row r="3" customFormat="false" ht="15" hidden="false" customHeight="false" outlineLevel="0" collapsed="false">
      <c r="A3" s="15" t="s">
        <v>105</v>
      </c>
      <c r="B3" s="16" t="n">
        <f aca="false">Subscriptions!F20</f>
        <v>2250.12</v>
      </c>
    </row>
    <row r="4" customFormat="false" ht="15" hidden="false" customHeight="false" outlineLevel="0" collapsed="false">
      <c r="A4" s="15"/>
    </row>
    <row r="5" customFormat="false" ht="15" hidden="false" customHeight="false" outlineLevel="0" collapsed="false">
      <c r="A5" s="17" t="s">
        <v>106</v>
      </c>
    </row>
    <row r="6" customFormat="false" ht="15" hidden="false" customHeight="false" outlineLevel="0" collapsed="false">
      <c r="A6" s="15" t="s">
        <v>107</v>
      </c>
      <c r="B6" s="18" t="n">
        <v>100</v>
      </c>
    </row>
    <row r="7" customFormat="false" ht="15" hidden="false" customHeight="false" outlineLevel="0" collapsed="false">
      <c r="A7" s="15" t="s">
        <v>108</v>
      </c>
      <c r="B7" s="18" t="n">
        <v>10.89</v>
      </c>
    </row>
    <row r="8" customFormat="false" ht="15" hidden="false" customHeight="false" outlineLevel="0" collapsed="false">
      <c r="A8" s="15" t="s">
        <v>109</v>
      </c>
      <c r="B8" s="18" t="n">
        <v>21.76</v>
      </c>
    </row>
    <row r="9" customFormat="false" ht="15" hidden="false" customHeight="false" outlineLevel="0" collapsed="false">
      <c r="A9" s="15" t="s">
        <v>110</v>
      </c>
      <c r="B9" s="18" t="n">
        <v>0</v>
      </c>
    </row>
    <row r="10" customFormat="false" ht="15" hidden="false" customHeight="false" outlineLevel="0" collapsed="false">
      <c r="A10" s="15" t="s">
        <v>111</v>
      </c>
      <c r="B10" s="18" t="n">
        <v>21.78</v>
      </c>
    </row>
    <row r="11" customFormat="false" ht="15" hidden="false" customHeight="false" outlineLevel="0" collapsed="false">
      <c r="A11" s="15" t="s">
        <v>112</v>
      </c>
      <c r="B11" s="18" t="n">
        <v>1.5</v>
      </c>
    </row>
    <row r="12" customFormat="false" ht="15" hidden="false" customHeight="false" outlineLevel="0" collapsed="false">
      <c r="A12" s="15" t="s">
        <v>113</v>
      </c>
      <c r="B12" s="16" t="n">
        <f aca="false">SUM(B6:B11)</f>
        <v>155.93</v>
      </c>
    </row>
    <row r="13" customFormat="false" ht="15" hidden="false" customHeight="false" outlineLevel="0" collapsed="false">
      <c r="A13" s="15" t="s">
        <v>114</v>
      </c>
      <c r="B13" s="16" t="n">
        <f aca="false">B12*12</f>
        <v>1871.16</v>
      </c>
    </row>
    <row r="14" customFormat="false" ht="15" hidden="false" customHeight="false" outlineLevel="0" collapsed="false">
      <c r="A14" s="15"/>
    </row>
    <row r="15" customFormat="false" ht="15" hidden="false" customHeight="false" outlineLevel="0" collapsed="false">
      <c r="A15" s="15" t="s">
        <v>115</v>
      </c>
      <c r="B15" s="16" t="n">
        <f aca="false">B2-B12</f>
        <v>31.58</v>
      </c>
    </row>
    <row r="16" customFormat="false" ht="15" hidden="false" customHeight="false" outlineLevel="0" collapsed="false">
      <c r="A16" s="15" t="s">
        <v>116</v>
      </c>
      <c r="B16" s="16" t="n">
        <f aca="false">B15*12</f>
        <v>378.96</v>
      </c>
    </row>
    <row r="18" customFormat="false" ht="15" hidden="false" customHeight="false" outlineLevel="0" collapsed="false">
      <c r="A18" s="19" t="s">
        <v>117</v>
      </c>
    </row>
    <row r="19" customFormat="false" ht="15" hidden="false" customHeight="false" outlineLevel="0" collapsed="false">
      <c r="A19" s="19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20" t="s">
        <v>2</v>
      </c>
      <c r="B3" s="20" t="s">
        <v>120</v>
      </c>
      <c r="C3" s="20" t="s">
        <v>6</v>
      </c>
      <c r="D3" s="20" t="s">
        <v>121</v>
      </c>
      <c r="E3" s="20" t="s">
        <v>122</v>
      </c>
    </row>
    <row r="4" customFormat="false" ht="39.55" hidden="false" customHeight="false" outlineLevel="0" collapsed="false">
      <c r="A4" s="4" t="s">
        <v>123</v>
      </c>
      <c r="B4" s="5" t="s">
        <v>124</v>
      </c>
      <c r="C4" s="6" t="n">
        <v>9</v>
      </c>
      <c r="D4" s="5" t="s">
        <v>125</v>
      </c>
      <c r="E4" s="5" t="s">
        <v>126</v>
      </c>
    </row>
    <row r="5" customFormat="false" ht="26.85" hidden="false" customHeight="false" outlineLevel="0" collapsed="false">
      <c r="A5" s="4" t="s">
        <v>94</v>
      </c>
      <c r="B5" s="5" t="s">
        <v>127</v>
      </c>
      <c r="C5" s="6" t="n">
        <v>39</v>
      </c>
      <c r="D5" s="5" t="s">
        <v>128</v>
      </c>
      <c r="E5" s="5" t="s">
        <v>129</v>
      </c>
    </row>
    <row r="6" customFormat="false" ht="26.85" hidden="false" customHeight="false" outlineLevel="0" collapsed="false">
      <c r="A6" s="4" t="s">
        <v>50</v>
      </c>
      <c r="B6" s="5" t="s">
        <v>130</v>
      </c>
      <c r="C6" s="6" t="n">
        <v>89</v>
      </c>
      <c r="D6" s="5" t="s">
        <v>131</v>
      </c>
      <c r="E6" s="5" t="s">
        <v>132</v>
      </c>
    </row>
    <row r="7" customFormat="false" ht="26.85" hidden="false" customHeight="false" outlineLevel="0" collapsed="false">
      <c r="A7" s="4" t="s">
        <v>56</v>
      </c>
      <c r="B7" s="5" t="s">
        <v>133</v>
      </c>
      <c r="C7" s="6" t="n">
        <v>10.59</v>
      </c>
      <c r="D7" s="5" t="s">
        <v>134</v>
      </c>
      <c r="E7" s="5" t="s">
        <v>135</v>
      </c>
    </row>
    <row r="8" customFormat="false" ht="26.85" hidden="false" customHeight="false" outlineLevel="0" collapsed="false">
      <c r="A8" s="4" t="s">
        <v>70</v>
      </c>
      <c r="B8" s="5" t="s">
        <v>136</v>
      </c>
      <c r="C8" s="6" t="n">
        <v>16</v>
      </c>
      <c r="D8" s="5" t="s">
        <v>137</v>
      </c>
      <c r="E8" s="5" t="s">
        <v>138</v>
      </c>
    </row>
    <row r="9" customFormat="false" ht="15" hidden="false" customHeight="false" outlineLevel="0" collapsed="false">
      <c r="A9" s="4" t="s">
        <v>139</v>
      </c>
      <c r="B9" s="5" t="s">
        <v>140</v>
      </c>
      <c r="C9" s="6" t="n">
        <v>50</v>
      </c>
      <c r="D9" s="5" t="s">
        <v>141</v>
      </c>
      <c r="E9" s="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2026-07-17T17:56:43Z</dcterms:created>
  <dc:creator>openpyxl</dc:creator>
  <dc:description/>
  <dc:language>en-US</dc:language>
  <cp:lastModifiedBy/>
  <dcterms:modified xsi:type="dcterms:W3CDTF">2026-07-17T17:56:43Z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