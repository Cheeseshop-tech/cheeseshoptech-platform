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cut Items" sheetId="1" state="visible" r:id="rId3"/>
    <sheet name="How to Use" sheetId="2" state="visible" r:id="rId4"/>
  </sheets>
  <definedNames>
    <definedName function="false" hidden="false" localSheetId="0" name="_xlnm.Print_Titles" vbProcedure="false">'Precut Items'!$4:$4</definedName>
    <definedName function="false" hidden="true" localSheetId="0" name="_xlnm._FilterDatabase" vbProcedure="false">'Precut Items'!$A$4:$L$28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<sst xmlns="http://schemas.openxmlformats.org/spreadsheetml/2006/main" count="223" uniqueCount="104">
  <si>
    <t xml:space="preserve">Item Preparedness Tracker</t>
  </si>
  <si>
    <t xml:space="preserve">Monti Trentini USA  ·  PRECUT LINE — 7 oz exact-weight wedges + Apericheese  ·  24 items  ·  checked against the live 2026-03 customer price list (Alma / Cow Brand / Di Palo / AT / Dekalb)</t>
  </si>
  <si>
    <t xml:space="preserve">Item</t>
  </si>
  <si>
    <t xml:space="preserve">Product</t>
  </si>
  <si>
    <t xml:space="preserve">Status</t>
  </si>
  <si>
    <t xml:space="preserve">Gaps</t>
  </si>
  <si>
    <t xml:space="preserve">Photo</t>
  </si>
  <si>
    <t xml:space="preserve">Spec Sheet</t>
  </si>
  <si>
    <t xml:space="preserve">UPC</t>
  </si>
  <si>
    <t xml:space="preserve">Quotable</t>
  </si>
  <si>
    <t xml:space="preserve">What's Missing</t>
  </si>
  <si>
    <t xml:space="preserve">Route To</t>
  </si>
  <si>
    <t xml:space="preserve">Comments / Instructions</t>
  </si>
  <si>
    <t xml:space="preserve">Done?</t>
  </si>
  <si>
    <t xml:space="preserve">02091</t>
  </si>
  <si>
    <t xml:space="preserve">Asiago Fresco PDO, aged 30–40 days</t>
  </si>
  <si>
    <t xml:space="preserve">OK</t>
  </si>
  <si>
    <t xml:space="preserve">20424</t>
  </si>
  <si>
    <t xml:space="preserve">Caciotta Piccante (red chili pepper)</t>
  </si>
  <si>
    <t xml:space="preserve">20481</t>
  </si>
  <si>
    <t xml:space="preserve">Pepato (black peppercorn)</t>
  </si>
  <si>
    <t xml:space="preserve">20480</t>
  </si>
  <si>
    <t xml:space="preserve">Mountain Herbs</t>
  </si>
  <si>
    <t xml:space="preserve">04182</t>
  </si>
  <si>
    <t xml:space="preserve">Vezzena, aged min. 5 months</t>
  </si>
  <si>
    <t xml:space="preserve">30014</t>
  </si>
  <si>
    <t xml:space="preserve">Apericheese Yellow</t>
  </si>
  <si>
    <t xml:space="preserve">20579</t>
  </si>
  <si>
    <t xml:space="preserve">Aged Black Truffle</t>
  </si>
  <si>
    <t xml:space="preserve">MISSING</t>
  </si>
  <si>
    <t xml:space="preserve">NO</t>
  </si>
  <si>
    <t xml:space="preserve">No photo on file
No spec sheet
UPC — printed number is Asiago Vecchio 03073's barcode
Not quotable — absent from the availability sheet</t>
  </si>
  <si>
    <t xml:space="preserve">Stefano + Inventory Mgr</t>
  </si>
  <si>
    <t xml:space="preserve">05600</t>
  </si>
  <si>
    <t xml:space="preserve">Parmigiano Reggiano DOP, aged 18 months</t>
  </si>
  <si>
    <t xml:space="preserve">No photo on file
No spec sheet
UPC — blank on the price list</t>
  </si>
  <si>
    <t xml:space="preserve">Stefano + Marketing</t>
  </si>
  <si>
    <t xml:space="preserve">40184</t>
  </si>
  <si>
    <t xml:space="preserve">Pecorino Romano PDO</t>
  </si>
  <si>
    <t xml:space="preserve">No spec sheet
Not quotable — absent from the availability sheet</t>
  </si>
  <si>
    <t xml:space="preserve">40086</t>
  </si>
  <si>
    <t xml:space="preserve">Montasio PDO</t>
  </si>
  <si>
    <t xml:space="preserve">No photo on file
No spec sheet</t>
  </si>
  <si>
    <t xml:space="preserve">05091</t>
  </si>
  <si>
    <t xml:space="preserve">Grana Padano, aged min. 12 months</t>
  </si>
  <si>
    <t xml:space="preserve">WRONG</t>
  </si>
  <si>
    <t xml:space="preserve">Photo is an unwrapped oversized wedge, not the 7 oz retail unit
No spec sheet</t>
  </si>
  <si>
    <t xml:space="preserve">01190</t>
  </si>
  <si>
    <t xml:space="preserve">Mild Provolone</t>
  </si>
  <si>
    <t xml:space="preserve">01174</t>
  </si>
  <si>
    <t xml:space="preserve">Naturally Smoked Provolone — Wedge</t>
  </si>
  <si>
    <t xml:space="preserve">Photo on file is the Disc; the Wedge has none</t>
  </si>
  <si>
    <t xml:space="preserve">Marketing</t>
  </si>
  <si>
    <t xml:space="preserve">03073</t>
  </si>
  <si>
    <t xml:space="preserve">Aged Asiago (Vecchio), aged 9 months</t>
  </si>
  <si>
    <t xml:space="preserve">Spec sheet is the wrong document — the whole-wheel spec (1 per carton, EAN 2003003 = item 03003)</t>
  </si>
  <si>
    <t xml:space="preserve">Stefano</t>
  </si>
  <si>
    <t xml:space="preserve">03044</t>
  </si>
  <si>
    <t xml:space="preserve">Aged Asiago PDO, aged 5 months</t>
  </si>
  <si>
    <t xml:space="preserve">Two spec sheet versions live (both rev 2, dated 08-21 and 08-27) — unresolved which is current</t>
  </si>
  <si>
    <t xml:space="preserve">30015</t>
  </si>
  <si>
    <t xml:space="preserve">Apericheese Red</t>
  </si>
  <si>
    <t xml:space="preserve">Spec sheet prints UPC 857594000936; should be 857594000943</t>
  </si>
  <si>
    <t xml:space="preserve">30016</t>
  </si>
  <si>
    <t xml:space="preserve">Apericheese Orange</t>
  </si>
  <si>
    <t xml:space="preserve">Spec sheet prints UPC 857594000936; should be 857594000905</t>
  </si>
  <si>
    <t xml:space="preserve">30017</t>
  </si>
  <si>
    <t xml:space="preserve">Apericheese White</t>
  </si>
  <si>
    <t xml:space="preserve">Spec sheet prints UPC 857594000936; should be 857595000929</t>
  </si>
  <si>
    <t xml:space="preserve">20423</t>
  </si>
  <si>
    <t xml:space="preserve">Black Truffle</t>
  </si>
  <si>
    <t xml:space="preserve">No spec sheet</t>
  </si>
  <si>
    <t xml:space="preserve">01101</t>
  </si>
  <si>
    <t xml:space="preserve">Sharp Provolone</t>
  </si>
  <si>
    <t xml:space="preserve">04165</t>
  </si>
  <si>
    <t xml:space="preserve">Lagorai</t>
  </si>
  <si>
    <t xml:space="preserve">04176</t>
  </si>
  <si>
    <t xml:space="preserve">Imbriago Drunken Cheese</t>
  </si>
  <si>
    <t xml:space="preserve">04211</t>
  </si>
  <si>
    <t xml:space="preserve">Alpeggio</t>
  </si>
  <si>
    <t xml:space="preserve">40163</t>
  </si>
  <si>
    <t xml:space="preserve">Ricotta Salata</t>
  </si>
  <si>
    <t xml:space="preserve">How to use this tracker</t>
  </si>
  <si>
    <t xml:space="preserve">Fill in these two only</t>
  </si>
  <si>
    <t xml:space="preserve">The YELLOW columns: 'Comments / Instructions' and 'Done?'. Everything else is generated from the price list and the Media Hub and will be overwritten on the next refresh.</t>
  </si>
  <si>
    <t xml:space="preserve">Example comment</t>
  </si>
  <si>
    <t xml:space="preserve">20579  →  "Asked Stefano 9/18 for sheet + real UPC. Inventory adding to availability sheet this week. Do not quote until both land."</t>
  </si>
  <si>
    <t xml:space="preserve">Pick from the dropdown: Not started / In progress / Done.</t>
  </si>
  <si>
    <t xml:space="preserve">Formula. Reads PREPARED only when Photo, Spec Sheet, UPC and Quotable are all OK.</t>
  </si>
  <si>
    <t xml:space="preserve">Formula. How many of those four are not OK.</t>
  </si>
  <si>
    <t xml:space="preserve">OK = a correct, portion-accurate packshot is linked.  WRONG = one is linked but it shows the wrong thing.  MISSING = none on file.</t>
  </si>
  <si>
    <t xml:space="preserve">OK = current Scheda on file.  WRONG = on file but defective (wrong document, wrong UPC printed, or two versions live).  MISSING = none.</t>
  </si>
  <si>
    <t xml:space="preserve">OK = a unique barcode.  MISSING = blank, or the printed one belongs to another item.</t>
  </si>
  <si>
    <t xml:space="preserve">OK = on the availability sheet, so the pricing tool returns a number.  NO = absent, so it cannot be quoted regardless of having a price.</t>
  </si>
  <si>
    <t xml:space="preserve">Counts</t>
  </si>
  <si>
    <t xml:space="preserve">Prepared</t>
  </si>
  <si>
    <t xml:space="preserve">Not prepared</t>
  </si>
  <si>
    <t xml:space="preserve">Spec sheets outstanding</t>
  </si>
  <si>
    <t xml:space="preserve">Biggest lever</t>
  </si>
  <si>
    <t xml:space="preserve">16 of the 18 not-prepared items are gated on spec sheets. One request to Stefano — 12 missing sheets, the wrong document on 03073, the duplicate on 03044, and the three Apericheese sheets printing the wrong UPC — moves Prepared from 6 to roughly 17.</t>
  </si>
  <si>
    <t xml:space="preserve">Watch on Apericheese</t>
  </si>
  <si>
    <t xml:space="preserve">A buyer keys the UPC off the spec sheet, not the price list. Sent as-is, 30015 / 30016 / 30017 would have ACE build three items against one barcode.</t>
  </si>
  <si>
    <t xml:space="preserve">Source</t>
  </si>
  <si>
    <t xml:space="preserve">Generated 2026-09-18 from src/data/montitrentini/source/pricelist-2026-03-live.json and the live Cloudinary image manifest. Status values are observed, not estimated.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</si>
</sst>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5C3A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5C3A"/>
      <name val="Arial"/>
      <family val="0"/>
      <charset val="1"/>
    </font>
    <font>
      <b val="true"/>
      <sz val="10"/>
      <color rgb="FF1F5C3A"/>
      <name val="Arial"/>
      <family val="0"/>
      <charset val="1"/>
    </font>
    <font>
      <sz val="10"/>
      <color rgb="FF595959"/>
      <name val="Arial"/>
      <family val="0"/>
      <charset val="1"/>
    </font>
    <font>
      <sz val="10"/>
      <color rgb="FFA3202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5C3A"/>
        <bgColor rgb="FF595959"/>
      </patternFill>
    </fill>
    <fill>
      <patternFill patternType="solid">
        <fgColor rgb="FFFFF6C2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5C3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3F1E6"/>
          <bgColor rgb="FF000000"/>
        </patternFill>
      </fill>
    </dxf>
    <dxf>
      <fill>
        <patternFill patternType="solid">
          <fgColor rgb="FFFBE4E4"/>
          <bgColor rgb="FF000000"/>
        </patternFill>
      </fill>
    </dxf>
    <dxf>
      <fill>
        <patternFill patternType="solid">
          <fgColor rgb="FFA32020"/>
          <bgColor rgb="FF000000"/>
        </patternFill>
      </fill>
    </dxf>
    <dxf>
      <fill>
        <patternFill patternType="solid">
          <fgColor rgb="FFFFF6C2"/>
          <bgColor rgb="FF000000"/>
        </patternFill>
      </fill>
    </dxf>
    <dxf>
      <fill>
        <patternFill>
          <bgColor rgb="FFE3F1E6"/>
        </patternFill>
      </fill>
    </dxf>
    <dxf>
      <font>
        <name val="Arial"/>
        <charset val="1"/>
        <family val="0"/>
        <b val="1"/>
        <color rgb="FFA32020"/>
        <sz val="10"/>
      </font>
      <fill>
        <patternFill>
          <bgColor rgb="FFFBE4E4"/>
        </patternFill>
      </fill>
    </dxf>
    <dxf>
      <font>
        <name val="Arial"/>
        <charset val="1"/>
        <family val="0"/>
        <b val="1"/>
        <color rgb="FF1F5C3A"/>
        <sz val="10"/>
      </font>
      <fill>
        <patternFill>
          <bgColor rgb="FFE3F1E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6C2"/>
      <rgbColor rgb="FFE3F1E6"/>
      <rgbColor rgb="FF660066"/>
      <rgbColor rgb="FFFF8080"/>
      <rgbColor rgb="FF0066CC"/>
      <rgbColor rgb="FFD5D5D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BE4E4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A32020"/>
      <rgbColor rgb="FF993366"/>
      <rgbColor rgb="FF333399"/>
      <rgbColor rgb="FF1F5C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4"/>
    <col collapsed="false" customWidth="true" hidden="false" outlineLevel="0" max="3" min="3" style="0" width="15"/>
    <col collapsed="false" customWidth="true" hidden="false" outlineLevel="0" max="4" min="4" style="0" width="7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8" min="7" style="0" width="11"/>
    <col collapsed="false" customWidth="true" hidden="false" outlineLevel="0" max="9" min="9" style="0" width="58"/>
    <col collapsed="false" customWidth="true" hidden="false" outlineLevel="0" max="10" min="10" style="0" width="22"/>
    <col collapsed="false" customWidth="true" hidden="false" outlineLevel="0" max="11" min="11" style="0" width="40"/>
    <col collapsed="false" customWidth="true" hidden="false" outlineLevel="0" max="12" min="12" style="0" width="11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18" hidden="false" customHeight="true" outlineLevel="0" collapsed="false">
      <c r="A5" s="4" t="s">
        <v>14</v>
      </c>
      <c r="B5" s="5" t="s">
        <v>15</v>
      </c>
      <c r="C5" s="6" t="str">
        <f aca="false">IF(COUNTIF(E5:H5,"OK")=4,"PREPARED","NOT PREPARED")</f>
        <v>PREPARED</v>
      </c>
      <c r="D5" s="7" t="n">
        <f aca="false">4-COUNTIF(E5:H5,"OK")</f>
        <v>0</v>
      </c>
      <c r="E5" s="6" t="s">
        <v>16</v>
      </c>
      <c r="F5" s="6" t="s">
        <v>16</v>
      </c>
      <c r="G5" s="6" t="s">
        <v>16</v>
      </c>
      <c r="H5" s="6" t="s">
        <v>16</v>
      </c>
      <c r="I5" s="5"/>
      <c r="J5" s="5"/>
      <c r="K5" s="8"/>
      <c r="L5" s="9"/>
    </row>
    <row r="6" customFormat="false" ht="18" hidden="false" customHeight="true" outlineLevel="0" collapsed="false">
      <c r="A6" s="4" t="s">
        <v>17</v>
      </c>
      <c r="B6" s="5" t="s">
        <v>18</v>
      </c>
      <c r="C6" s="6" t="str">
        <f aca="false">IF(COUNTIF(E6:H6,"OK")=4,"PREPARED","NOT PREPARED")</f>
        <v>PREPARED</v>
      </c>
      <c r="D6" s="7" t="n">
        <f aca="false">4-COUNTIF(E6:H6,"OK")</f>
        <v>0</v>
      </c>
      <c r="E6" s="6" t="s">
        <v>16</v>
      </c>
      <c r="F6" s="6" t="s">
        <v>16</v>
      </c>
      <c r="G6" s="6" t="s">
        <v>16</v>
      </c>
      <c r="H6" s="6" t="s">
        <v>16</v>
      </c>
      <c r="I6" s="5"/>
      <c r="J6" s="5"/>
      <c r="K6" s="8"/>
      <c r="L6" s="9"/>
    </row>
    <row r="7" customFormat="false" ht="18" hidden="false" customHeight="true" outlineLevel="0" collapsed="false">
      <c r="A7" s="4" t="s">
        <v>19</v>
      </c>
      <c r="B7" s="5" t="s">
        <v>20</v>
      </c>
      <c r="C7" s="6" t="str">
        <f aca="false">IF(COUNTIF(E7:H7,"OK")=4,"PREPARED","NOT PREPARED")</f>
        <v>PREPARED</v>
      </c>
      <c r="D7" s="7" t="n">
        <f aca="false">4-COUNTIF(E7:H7,"OK")</f>
        <v>0</v>
      </c>
      <c r="E7" s="6" t="s">
        <v>16</v>
      </c>
      <c r="F7" s="6" t="s">
        <v>16</v>
      </c>
      <c r="G7" s="6" t="s">
        <v>16</v>
      </c>
      <c r="H7" s="6" t="s">
        <v>16</v>
      </c>
      <c r="I7" s="5"/>
      <c r="J7" s="5"/>
      <c r="K7" s="8"/>
      <c r="L7" s="9"/>
    </row>
    <row r="8" customFormat="false" ht="18" hidden="false" customHeight="true" outlineLevel="0" collapsed="false">
      <c r="A8" s="4" t="s">
        <v>21</v>
      </c>
      <c r="B8" s="5" t="s">
        <v>22</v>
      </c>
      <c r="C8" s="6" t="str">
        <f aca="false">IF(COUNTIF(E8:H8,"OK")=4,"PREPARED","NOT PREPARED")</f>
        <v>PREPARED</v>
      </c>
      <c r="D8" s="7" t="n">
        <f aca="false">4-COUNTIF(E8:H8,"OK")</f>
        <v>0</v>
      </c>
      <c r="E8" s="6" t="s">
        <v>16</v>
      </c>
      <c r="F8" s="6" t="s">
        <v>16</v>
      </c>
      <c r="G8" s="6" t="s">
        <v>16</v>
      </c>
      <c r="H8" s="6" t="s">
        <v>16</v>
      </c>
      <c r="I8" s="5"/>
      <c r="J8" s="5"/>
      <c r="K8" s="8"/>
      <c r="L8" s="9"/>
    </row>
    <row r="9" customFormat="false" ht="18" hidden="false" customHeight="true" outlineLevel="0" collapsed="false">
      <c r="A9" s="4" t="s">
        <v>23</v>
      </c>
      <c r="B9" s="5" t="s">
        <v>24</v>
      </c>
      <c r="C9" s="6" t="str">
        <f aca="false">IF(COUNTIF(E9:H9,"OK")=4,"PREPARED","NOT PREPARED")</f>
        <v>PREPARED</v>
      </c>
      <c r="D9" s="7" t="n">
        <f aca="false">4-COUNTIF(E9:H9,"OK")</f>
        <v>0</v>
      </c>
      <c r="E9" s="6" t="s">
        <v>16</v>
      </c>
      <c r="F9" s="6" t="s">
        <v>16</v>
      </c>
      <c r="G9" s="6" t="s">
        <v>16</v>
      </c>
      <c r="H9" s="6" t="s">
        <v>16</v>
      </c>
      <c r="I9" s="5"/>
      <c r="J9" s="5"/>
      <c r="K9" s="8"/>
      <c r="L9" s="9"/>
    </row>
    <row r="10" customFormat="false" ht="18" hidden="false" customHeight="true" outlineLevel="0" collapsed="false">
      <c r="A10" s="4" t="s">
        <v>25</v>
      </c>
      <c r="B10" s="5" t="s">
        <v>26</v>
      </c>
      <c r="C10" s="6" t="str">
        <f aca="false">IF(COUNTIF(E10:H10,"OK")=4,"PREPARED","NOT PREPARED")</f>
        <v>PREPARED</v>
      </c>
      <c r="D10" s="7" t="n">
        <f aca="false">4-COUNTIF(E10:H10,"OK")</f>
        <v>0</v>
      </c>
      <c r="E10" s="6" t="s">
        <v>16</v>
      </c>
      <c r="F10" s="6" t="s">
        <v>16</v>
      </c>
      <c r="G10" s="6" t="s">
        <v>16</v>
      </c>
      <c r="H10" s="6" t="s">
        <v>16</v>
      </c>
      <c r="I10" s="5"/>
      <c r="J10" s="5"/>
      <c r="K10" s="8"/>
      <c r="L10" s="9"/>
    </row>
    <row r="11" customFormat="false" ht="54" hidden="false" customHeight="true" outlineLevel="0" collapsed="false">
      <c r="A11" s="4" t="s">
        <v>27</v>
      </c>
      <c r="B11" s="5" t="s">
        <v>28</v>
      </c>
      <c r="C11" s="6" t="str">
        <f aca="false">IF(COUNTIF(E11:H11,"OK")=4,"PREPARED","NOT PREPARED")</f>
        <v>NOT PREPARED</v>
      </c>
      <c r="D11" s="7" t="n">
        <f aca="false">4-COUNTIF(E11:H11,"OK")</f>
        <v>4</v>
      </c>
      <c r="E11" s="6" t="s">
        <v>29</v>
      </c>
      <c r="F11" s="6" t="s">
        <v>29</v>
      </c>
      <c r="G11" s="6" t="s">
        <v>29</v>
      </c>
      <c r="H11" s="6" t="s">
        <v>30</v>
      </c>
      <c r="I11" s="5" t="s">
        <v>31</v>
      </c>
      <c r="J11" s="5" t="s">
        <v>32</v>
      </c>
      <c r="K11" s="8"/>
      <c r="L11" s="9"/>
    </row>
    <row r="12" customFormat="false" ht="42" hidden="false" customHeight="true" outlineLevel="0" collapsed="false">
      <c r="A12" s="4" t="s">
        <v>33</v>
      </c>
      <c r="B12" s="5" t="s">
        <v>34</v>
      </c>
      <c r="C12" s="6" t="str">
        <f aca="false">IF(COUNTIF(E12:H12,"OK")=4,"PREPARED","NOT PREPARED")</f>
        <v>NOT PREPARED</v>
      </c>
      <c r="D12" s="7" t="n">
        <f aca="false">4-COUNTIF(E12:H12,"OK")</f>
        <v>3</v>
      </c>
      <c r="E12" s="6" t="s">
        <v>29</v>
      </c>
      <c r="F12" s="6" t="s">
        <v>29</v>
      </c>
      <c r="G12" s="6" t="s">
        <v>29</v>
      </c>
      <c r="H12" s="6" t="s">
        <v>16</v>
      </c>
      <c r="I12" s="5" t="s">
        <v>35</v>
      </c>
      <c r="J12" s="5" t="s">
        <v>36</v>
      </c>
      <c r="K12" s="8"/>
      <c r="L12" s="9"/>
    </row>
    <row r="13" customFormat="false" ht="30" hidden="false" customHeight="true" outlineLevel="0" collapsed="false">
      <c r="A13" s="4" t="s">
        <v>37</v>
      </c>
      <c r="B13" s="5" t="s">
        <v>38</v>
      </c>
      <c r="C13" s="6" t="str">
        <f aca="false">IF(COUNTIF(E13:H13,"OK")=4,"PREPARED","NOT PREPARED")</f>
        <v>NOT PREPARED</v>
      </c>
      <c r="D13" s="7" t="n">
        <f aca="false">4-COUNTIF(E13:H13,"OK")</f>
        <v>2</v>
      </c>
      <c r="E13" s="6" t="s">
        <v>16</v>
      </c>
      <c r="F13" s="6" t="s">
        <v>29</v>
      </c>
      <c r="G13" s="6" t="s">
        <v>16</v>
      </c>
      <c r="H13" s="6" t="s">
        <v>30</v>
      </c>
      <c r="I13" s="5" t="s">
        <v>39</v>
      </c>
      <c r="J13" s="5" t="s">
        <v>32</v>
      </c>
      <c r="K13" s="8"/>
      <c r="L13" s="9"/>
    </row>
    <row r="14" customFormat="false" ht="30" hidden="false" customHeight="true" outlineLevel="0" collapsed="false">
      <c r="A14" s="4" t="s">
        <v>40</v>
      </c>
      <c r="B14" s="5" t="s">
        <v>41</v>
      </c>
      <c r="C14" s="6" t="str">
        <f aca="false">IF(COUNTIF(E14:H14,"OK")=4,"PREPARED","NOT PREPARED")</f>
        <v>NOT PREPARED</v>
      </c>
      <c r="D14" s="7" t="n">
        <f aca="false">4-COUNTIF(E14:H14,"OK")</f>
        <v>2</v>
      </c>
      <c r="E14" s="6" t="s">
        <v>29</v>
      </c>
      <c r="F14" s="6" t="s">
        <v>29</v>
      </c>
      <c r="G14" s="6" t="s">
        <v>16</v>
      </c>
      <c r="H14" s="6" t="s">
        <v>16</v>
      </c>
      <c r="I14" s="5" t="s">
        <v>42</v>
      </c>
      <c r="J14" s="5" t="s">
        <v>36</v>
      </c>
      <c r="K14" s="8"/>
      <c r="L14" s="9"/>
    </row>
    <row r="15" customFormat="false" ht="30" hidden="false" customHeight="true" outlineLevel="0" collapsed="false">
      <c r="A15" s="4" t="s">
        <v>43</v>
      </c>
      <c r="B15" s="5" t="s">
        <v>44</v>
      </c>
      <c r="C15" s="6" t="str">
        <f aca="false">IF(COUNTIF(E15:H15,"OK")=4,"PREPARED","NOT PREPARED")</f>
        <v>NOT PREPARED</v>
      </c>
      <c r="D15" s="7" t="n">
        <f aca="false">4-COUNTIF(E15:H15,"OK")</f>
        <v>2</v>
      </c>
      <c r="E15" s="6" t="s">
        <v>45</v>
      </c>
      <c r="F15" s="6" t="s">
        <v>29</v>
      </c>
      <c r="G15" s="6" t="s">
        <v>16</v>
      </c>
      <c r="H15" s="6" t="s">
        <v>16</v>
      </c>
      <c r="I15" s="5" t="s">
        <v>46</v>
      </c>
      <c r="J15" s="5" t="s">
        <v>36</v>
      </c>
      <c r="K15" s="8"/>
      <c r="L15" s="9"/>
    </row>
    <row r="16" customFormat="false" ht="30" hidden="false" customHeight="true" outlineLevel="0" collapsed="false">
      <c r="A16" s="4" t="s">
        <v>47</v>
      </c>
      <c r="B16" s="5" t="s">
        <v>48</v>
      </c>
      <c r="C16" s="6" t="str">
        <f aca="false">IF(COUNTIF(E16:H16,"OK")=4,"PREPARED","NOT PREPARED")</f>
        <v>NOT PREPARED</v>
      </c>
      <c r="D16" s="7" t="n">
        <f aca="false">4-COUNTIF(E16:H16,"OK")</f>
        <v>2</v>
      </c>
      <c r="E16" s="6" t="s">
        <v>29</v>
      </c>
      <c r="F16" s="6" t="s">
        <v>29</v>
      </c>
      <c r="G16" s="6" t="s">
        <v>16</v>
      </c>
      <c r="H16" s="6" t="s">
        <v>16</v>
      </c>
      <c r="I16" s="5" t="s">
        <v>42</v>
      </c>
      <c r="J16" s="5" t="s">
        <v>36</v>
      </c>
      <c r="K16" s="8"/>
      <c r="L16" s="9"/>
    </row>
    <row r="17" customFormat="false" ht="18" hidden="false" customHeight="true" outlineLevel="0" collapsed="false">
      <c r="A17" s="4" t="s">
        <v>49</v>
      </c>
      <c r="B17" s="5" t="s">
        <v>50</v>
      </c>
      <c r="C17" s="6" t="str">
        <f aca="false">IF(COUNTIF(E17:H17,"OK")=4,"PREPARED","NOT PREPARED")</f>
        <v>NOT PREPARED</v>
      </c>
      <c r="D17" s="7" t="n">
        <f aca="false">4-COUNTIF(E17:H17,"OK")</f>
        <v>1</v>
      </c>
      <c r="E17" s="6" t="s">
        <v>45</v>
      </c>
      <c r="F17" s="6" t="s">
        <v>16</v>
      </c>
      <c r="G17" s="6" t="s">
        <v>16</v>
      </c>
      <c r="H17" s="6" t="s">
        <v>16</v>
      </c>
      <c r="I17" s="5" t="s">
        <v>51</v>
      </c>
      <c r="J17" s="5" t="s">
        <v>52</v>
      </c>
      <c r="K17" s="8"/>
      <c r="L17" s="9"/>
    </row>
    <row r="18" customFormat="false" ht="18" hidden="false" customHeight="true" outlineLevel="0" collapsed="false">
      <c r="A18" s="4" t="s">
        <v>53</v>
      </c>
      <c r="B18" s="5" t="s">
        <v>54</v>
      </c>
      <c r="C18" s="6" t="str">
        <f aca="false">IF(COUNTIF(E18:H18,"OK")=4,"PREPARED","NOT PREPARED")</f>
        <v>NOT PREPARED</v>
      </c>
      <c r="D18" s="7" t="n">
        <f aca="false">4-COUNTIF(E18:H18,"OK")</f>
        <v>1</v>
      </c>
      <c r="E18" s="6" t="s">
        <v>16</v>
      </c>
      <c r="F18" s="6" t="s">
        <v>45</v>
      </c>
      <c r="G18" s="6" t="s">
        <v>16</v>
      </c>
      <c r="H18" s="6" t="s">
        <v>16</v>
      </c>
      <c r="I18" s="5" t="s">
        <v>55</v>
      </c>
      <c r="J18" s="5" t="s">
        <v>56</v>
      </c>
      <c r="K18" s="8"/>
      <c r="L18" s="9"/>
    </row>
    <row r="19" customFormat="false" ht="18" hidden="false" customHeight="true" outlineLevel="0" collapsed="false">
      <c r="A19" s="4" t="s">
        <v>57</v>
      </c>
      <c r="B19" s="5" t="s">
        <v>58</v>
      </c>
      <c r="C19" s="6" t="str">
        <f aca="false">IF(COUNTIF(E19:H19,"OK")=4,"PREPARED","NOT PREPARED")</f>
        <v>NOT PREPARED</v>
      </c>
      <c r="D19" s="7" t="n">
        <f aca="false">4-COUNTIF(E19:H19,"OK")</f>
        <v>1</v>
      </c>
      <c r="E19" s="6" t="s">
        <v>16</v>
      </c>
      <c r="F19" s="6" t="s">
        <v>45</v>
      </c>
      <c r="G19" s="6" t="s">
        <v>16</v>
      </c>
      <c r="H19" s="6" t="s">
        <v>16</v>
      </c>
      <c r="I19" s="5" t="s">
        <v>59</v>
      </c>
      <c r="J19" s="5" t="s">
        <v>56</v>
      </c>
      <c r="K19" s="8"/>
      <c r="L19" s="9"/>
    </row>
    <row r="20" customFormat="false" ht="18" hidden="false" customHeight="true" outlineLevel="0" collapsed="false">
      <c r="A20" s="4" t="s">
        <v>60</v>
      </c>
      <c r="B20" s="5" t="s">
        <v>61</v>
      </c>
      <c r="C20" s="6" t="str">
        <f aca="false">IF(COUNTIF(E20:H20,"OK")=4,"PREPARED","NOT PREPARED")</f>
        <v>NOT PREPARED</v>
      </c>
      <c r="D20" s="7" t="n">
        <f aca="false">4-COUNTIF(E20:H20,"OK")</f>
        <v>1</v>
      </c>
      <c r="E20" s="6" t="s">
        <v>16</v>
      </c>
      <c r="F20" s="6" t="s">
        <v>45</v>
      </c>
      <c r="G20" s="6" t="s">
        <v>16</v>
      </c>
      <c r="H20" s="6" t="s">
        <v>16</v>
      </c>
      <c r="I20" s="5" t="s">
        <v>62</v>
      </c>
      <c r="J20" s="5" t="s">
        <v>56</v>
      </c>
      <c r="K20" s="8"/>
      <c r="L20" s="9"/>
    </row>
    <row r="21" customFormat="false" ht="18" hidden="false" customHeight="true" outlineLevel="0" collapsed="false">
      <c r="A21" s="4" t="s">
        <v>63</v>
      </c>
      <c r="B21" s="5" t="s">
        <v>64</v>
      </c>
      <c r="C21" s="6" t="str">
        <f aca="false">IF(COUNTIF(E21:H21,"OK")=4,"PREPARED","NOT PREPARED")</f>
        <v>NOT PREPARED</v>
      </c>
      <c r="D21" s="7" t="n">
        <f aca="false">4-COUNTIF(E21:H21,"OK")</f>
        <v>1</v>
      </c>
      <c r="E21" s="6" t="s">
        <v>16</v>
      </c>
      <c r="F21" s="6" t="s">
        <v>45</v>
      </c>
      <c r="G21" s="6" t="s">
        <v>16</v>
      </c>
      <c r="H21" s="6" t="s">
        <v>16</v>
      </c>
      <c r="I21" s="5" t="s">
        <v>65</v>
      </c>
      <c r="J21" s="5" t="s">
        <v>56</v>
      </c>
      <c r="K21" s="8"/>
      <c r="L21" s="9"/>
    </row>
    <row r="22" customFormat="false" ht="18" hidden="false" customHeight="true" outlineLevel="0" collapsed="false">
      <c r="A22" s="4" t="s">
        <v>66</v>
      </c>
      <c r="B22" s="5" t="s">
        <v>67</v>
      </c>
      <c r="C22" s="6" t="str">
        <f aca="false">IF(COUNTIF(E22:H22,"OK")=4,"PREPARED","NOT PREPARED")</f>
        <v>NOT PREPARED</v>
      </c>
      <c r="D22" s="7" t="n">
        <f aca="false">4-COUNTIF(E22:H22,"OK")</f>
        <v>1</v>
      </c>
      <c r="E22" s="6" t="s">
        <v>16</v>
      </c>
      <c r="F22" s="6" t="s">
        <v>45</v>
      </c>
      <c r="G22" s="6" t="s">
        <v>16</v>
      </c>
      <c r="H22" s="6" t="s">
        <v>16</v>
      </c>
      <c r="I22" s="5" t="s">
        <v>68</v>
      </c>
      <c r="J22" s="5" t="s">
        <v>56</v>
      </c>
      <c r="K22" s="8"/>
      <c r="L22" s="9"/>
    </row>
    <row r="23" customFormat="false" ht="18" hidden="false" customHeight="true" outlineLevel="0" collapsed="false">
      <c r="A23" s="4" t="s">
        <v>69</v>
      </c>
      <c r="B23" s="5" t="s">
        <v>70</v>
      </c>
      <c r="C23" s="6" t="str">
        <f aca="false">IF(COUNTIF(E23:H23,"OK")=4,"PREPARED","NOT PREPARED")</f>
        <v>NOT PREPARED</v>
      </c>
      <c r="D23" s="7" t="n">
        <f aca="false">4-COUNTIF(E23:H23,"OK")</f>
        <v>1</v>
      </c>
      <c r="E23" s="6" t="s">
        <v>16</v>
      </c>
      <c r="F23" s="6" t="s">
        <v>29</v>
      </c>
      <c r="G23" s="6" t="s">
        <v>16</v>
      </c>
      <c r="H23" s="6" t="s">
        <v>16</v>
      </c>
      <c r="I23" s="5" t="s">
        <v>71</v>
      </c>
      <c r="J23" s="5" t="s">
        <v>56</v>
      </c>
      <c r="K23" s="8"/>
      <c r="L23" s="9"/>
    </row>
    <row r="24" customFormat="false" ht="18" hidden="false" customHeight="true" outlineLevel="0" collapsed="false">
      <c r="A24" s="4" t="s">
        <v>72</v>
      </c>
      <c r="B24" s="5" t="s">
        <v>73</v>
      </c>
      <c r="C24" s="6" t="str">
        <f aca="false">IF(COUNTIF(E24:H24,"OK")=4,"PREPARED","NOT PREPARED")</f>
        <v>NOT PREPARED</v>
      </c>
      <c r="D24" s="7" t="n">
        <f aca="false">4-COUNTIF(E24:H24,"OK")</f>
        <v>1</v>
      </c>
      <c r="E24" s="6" t="s">
        <v>16</v>
      </c>
      <c r="F24" s="6" t="s">
        <v>29</v>
      </c>
      <c r="G24" s="6" t="s">
        <v>16</v>
      </c>
      <c r="H24" s="6" t="s">
        <v>16</v>
      </c>
      <c r="I24" s="5" t="s">
        <v>71</v>
      </c>
      <c r="J24" s="5" t="s">
        <v>56</v>
      </c>
      <c r="K24" s="8"/>
      <c r="L24" s="9"/>
    </row>
    <row r="25" customFormat="false" ht="18" hidden="false" customHeight="true" outlineLevel="0" collapsed="false">
      <c r="A25" s="4" t="s">
        <v>74</v>
      </c>
      <c r="B25" s="5" t="s">
        <v>75</v>
      </c>
      <c r="C25" s="6" t="str">
        <f aca="false">IF(COUNTIF(E25:H25,"OK")=4,"PREPARED","NOT PREPARED")</f>
        <v>NOT PREPARED</v>
      </c>
      <c r="D25" s="7" t="n">
        <f aca="false">4-COUNTIF(E25:H25,"OK")</f>
        <v>1</v>
      </c>
      <c r="E25" s="6" t="s">
        <v>16</v>
      </c>
      <c r="F25" s="6" t="s">
        <v>29</v>
      </c>
      <c r="G25" s="6" t="s">
        <v>16</v>
      </c>
      <c r="H25" s="6" t="s">
        <v>16</v>
      </c>
      <c r="I25" s="5" t="s">
        <v>71</v>
      </c>
      <c r="J25" s="5" t="s">
        <v>56</v>
      </c>
      <c r="K25" s="8"/>
      <c r="L25" s="9"/>
    </row>
    <row r="26" customFormat="false" ht="18" hidden="false" customHeight="true" outlineLevel="0" collapsed="false">
      <c r="A26" s="4" t="s">
        <v>76</v>
      </c>
      <c r="B26" s="5" t="s">
        <v>77</v>
      </c>
      <c r="C26" s="6" t="str">
        <f aca="false">IF(COUNTIF(E26:H26,"OK")=4,"PREPARED","NOT PREPARED")</f>
        <v>NOT PREPARED</v>
      </c>
      <c r="D26" s="7" t="n">
        <f aca="false">4-COUNTIF(E26:H26,"OK")</f>
        <v>1</v>
      </c>
      <c r="E26" s="6" t="s">
        <v>16</v>
      </c>
      <c r="F26" s="6" t="s">
        <v>29</v>
      </c>
      <c r="G26" s="6" t="s">
        <v>16</v>
      </c>
      <c r="H26" s="6" t="s">
        <v>16</v>
      </c>
      <c r="I26" s="5" t="s">
        <v>71</v>
      </c>
      <c r="J26" s="5" t="s">
        <v>56</v>
      </c>
      <c r="K26" s="8"/>
      <c r="L26" s="9"/>
    </row>
    <row r="27" customFormat="false" ht="18" hidden="false" customHeight="true" outlineLevel="0" collapsed="false">
      <c r="A27" s="4" t="s">
        <v>78</v>
      </c>
      <c r="B27" s="5" t="s">
        <v>79</v>
      </c>
      <c r="C27" s="6" t="str">
        <f aca="false">IF(COUNTIF(E27:H27,"OK")=4,"PREPARED","NOT PREPARED")</f>
        <v>NOT PREPARED</v>
      </c>
      <c r="D27" s="7" t="n">
        <f aca="false">4-COUNTIF(E27:H27,"OK")</f>
        <v>1</v>
      </c>
      <c r="E27" s="6" t="s">
        <v>16</v>
      </c>
      <c r="F27" s="6" t="s">
        <v>29</v>
      </c>
      <c r="G27" s="6" t="s">
        <v>16</v>
      </c>
      <c r="H27" s="6" t="s">
        <v>16</v>
      </c>
      <c r="I27" s="5" t="s">
        <v>71</v>
      </c>
      <c r="J27" s="5" t="s">
        <v>56</v>
      </c>
      <c r="K27" s="8"/>
      <c r="L27" s="9"/>
    </row>
    <row r="28" customFormat="false" ht="18" hidden="false" customHeight="true" outlineLevel="0" collapsed="false">
      <c r="A28" s="4" t="s">
        <v>80</v>
      </c>
      <c r="B28" s="5" t="s">
        <v>81</v>
      </c>
      <c r="C28" s="6" t="str">
        <f aca="false">IF(COUNTIF(E28:H28,"OK")=4,"PREPARED","NOT PREPARED")</f>
        <v>NOT PREPARED</v>
      </c>
      <c r="D28" s="7" t="n">
        <f aca="false">4-COUNTIF(E28:H28,"OK")</f>
        <v>1</v>
      </c>
      <c r="E28" s="6" t="s">
        <v>16</v>
      </c>
      <c r="F28" s="6" t="s">
        <v>29</v>
      </c>
      <c r="G28" s="6" t="s">
        <v>16</v>
      </c>
      <c r="H28" s="6" t="s">
        <v>16</v>
      </c>
      <c r="I28" s="5" t="s">
        <v>71</v>
      </c>
      <c r="J28" s="5" t="s">
        <v>56</v>
      </c>
      <c r="K28" s="8"/>
      <c r="L28" s="9"/>
    </row>
  </sheetData>
  <autoFilter ref="A4:L28"/>
  <conditionalFormatting sqref="E5:H28">
    <cfRule type="cellIs" priority="2" operator="equal" aboveAverage="0" equalAverage="0" bottom="0" percent="0" rank="0" text="" dxfId="7">
      <formula>"OK"</formula>
    </cfRule>
    <cfRule type="cellIs" priority="3" operator="equal" aboveAverage="0" equalAverage="0" bottom="0" percent="0" rank="0" text="" dxfId="8">
      <formula>"MISSING"</formula>
    </cfRule>
    <cfRule type="cellIs" priority="4" operator="equal" aboveAverage="0" equalAverage="0" bottom="0" percent="0" rank="0" text="" dxfId="8">
      <formula>"WRONG"</formula>
    </cfRule>
    <cfRule type="cellIs" priority="5" operator="equal" aboveAverage="0" equalAverage="0" bottom="0" percent="0" rank="0" text="" dxfId="8">
      <formula>"NO"</formula>
    </cfRule>
  </conditionalFormatting>
  <conditionalFormatting sqref="C5:C28">
    <cfRule type="cellIs" priority="6" operator="equal" aboveAverage="0" equalAverage="0" bottom="0" percent="0" rank="0" text="" dxfId="9">
      <formula>"PREPARED"</formula>
    </cfRule>
    <cfRule type="cellIs" priority="7" operator="equal" aboveAverage="0" equalAverage="0" bottom="0" percent="0" rank="0" text="" dxfId="8">
      <formula>"NOT PREPARED"</formula>
    </cfRule>
  </conditionalFormatting>
  <dataValidations count="1">
    <dataValidation allowBlank="true" errorStyle="stop" operator="between" showDropDown="false" showErrorMessage="false" showInputMessage="false" sqref="L5:L28" type="list">
      <formula1>"Not started,In progress,Done"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86"/>
  </cols>
  <sheetData>
    <row r="1" customFormat="false" ht="17.35" hidden="false" customHeight="false" outlineLevel="0" collapsed="false">
      <c r="A1" s="10" t="s">
        <v>82</v>
      </c>
    </row>
    <row r="3" customFormat="false" ht="30" hidden="false" customHeight="true" outlineLevel="0" collapsed="false">
      <c r="A3" s="11" t="s">
        <v>83</v>
      </c>
      <c r="B3" s="12" t="s">
        <v>84</v>
      </c>
    </row>
    <row r="4" customFormat="false" ht="30" hidden="false" customHeight="true" outlineLevel="0" collapsed="false">
      <c r="A4" s="13" t="s">
        <v>85</v>
      </c>
      <c r="B4" s="14" t="s">
        <v>86</v>
      </c>
    </row>
    <row r="5" customFormat="false" ht="30" hidden="false" customHeight="true" outlineLevel="0" collapsed="false">
      <c r="A5" s="13" t="s">
        <v>13</v>
      </c>
      <c r="B5" s="14" t="s">
        <v>87</v>
      </c>
    </row>
    <row r="6" customFormat="false" ht="30" hidden="false" customHeight="true" outlineLevel="0" collapsed="false"/>
    <row r="7" customFormat="false" ht="30" hidden="false" customHeight="true" outlineLevel="0" collapsed="false">
      <c r="A7" s="11" t="s">
        <v>4</v>
      </c>
      <c r="B7" s="12" t="s">
        <v>88</v>
      </c>
    </row>
    <row r="8" customFormat="false" ht="30" hidden="false" customHeight="true" outlineLevel="0" collapsed="false">
      <c r="A8" s="11" t="s">
        <v>5</v>
      </c>
      <c r="B8" s="12" t="s">
        <v>89</v>
      </c>
    </row>
    <row r="9" customFormat="false" ht="30" hidden="false" customHeight="true" outlineLevel="0" collapsed="false">
      <c r="A9" s="11" t="s">
        <v>6</v>
      </c>
      <c r="B9" s="12" t="s">
        <v>90</v>
      </c>
    </row>
    <row r="10" customFormat="false" ht="30" hidden="false" customHeight="true" outlineLevel="0" collapsed="false">
      <c r="A10" s="11" t="s">
        <v>7</v>
      </c>
      <c r="B10" s="12" t="s">
        <v>91</v>
      </c>
    </row>
    <row r="11" customFormat="false" ht="30" hidden="false" customHeight="true" outlineLevel="0" collapsed="false">
      <c r="A11" s="11" t="s">
        <v>8</v>
      </c>
      <c r="B11" s="12" t="s">
        <v>92</v>
      </c>
    </row>
    <row r="12" customFormat="false" ht="30" hidden="false" customHeight="true" outlineLevel="0" collapsed="false">
      <c r="A12" s="11" t="s">
        <v>9</v>
      </c>
      <c r="B12" s="12" t="s">
        <v>93</v>
      </c>
    </row>
    <row r="13" customFormat="false" ht="30" hidden="false" customHeight="true" outlineLevel="0" collapsed="false"/>
    <row r="14" customFormat="false" ht="30" hidden="false" customHeight="true" outlineLevel="0" collapsed="false">
      <c r="A14" s="11" t="s">
        <v>94</v>
      </c>
      <c r="B14" s="12"/>
    </row>
    <row r="15" customFormat="false" ht="30" hidden="false" customHeight="true" outlineLevel="0" collapsed="false">
      <c r="A15" s="15" t="s">
        <v>95</v>
      </c>
      <c r="B15" s="13" t="n">
        <f aca="false">COUNTIF('Precut Items'!C5:C28,"PREPARED")</f>
        <v>6</v>
      </c>
    </row>
    <row r="16" customFormat="false" ht="30" hidden="false" customHeight="true" outlineLevel="0" collapsed="false">
      <c r="A16" s="15" t="s">
        <v>96</v>
      </c>
      <c r="B16" s="13" t="n">
        <f aca="false">COUNTIF('Precut Items'!C5:C28,"NOT PREPARED")</f>
        <v>18</v>
      </c>
    </row>
    <row r="17" customFormat="false" ht="30" hidden="false" customHeight="true" outlineLevel="0" collapsed="false">
      <c r="A17" s="15" t="s">
        <v>97</v>
      </c>
      <c r="B17" s="13" t="n">
        <f aca="false">COUNTIF('Precut Items'!F5:F28,"MISSING")+COUNTIF('Precut Items'!F5:F28,"WRONG")</f>
        <v>17</v>
      </c>
    </row>
    <row r="18" customFormat="false" ht="30" hidden="false" customHeight="true" outlineLevel="0" collapsed="false"/>
    <row r="19" customFormat="false" ht="30" hidden="false" customHeight="true" outlineLevel="0" collapsed="false">
      <c r="A19" s="11" t="s">
        <v>98</v>
      </c>
      <c r="B19" s="12" t="s">
        <v>99</v>
      </c>
    </row>
    <row r="20" customFormat="false" ht="30" hidden="false" customHeight="true" outlineLevel="0" collapsed="false">
      <c r="A20" s="11" t="s">
        <v>100</v>
      </c>
      <c r="B20" s="16" t="s">
        <v>101</v>
      </c>
    </row>
    <row r="21" customFormat="false" ht="30" hidden="false" customHeight="true" outlineLevel="0" collapsed="false"/>
    <row r="22" customFormat="false" ht="30" hidden="false" customHeight="true" outlineLevel="0" collapsed="false">
      <c r="A22" s="13" t="s">
        <v>102</v>
      </c>
      <c r="B22" s="14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2026-09-18T14:48:42Z</dcterms:created>
  <dc:creator>openpyxl</dc:creator>
  <dc:description/>
  <dc:language>en-US</dc:language>
  <cp:lastModifiedBy/>
  <dcterms:modified xsi:type="dcterms:W3CDTF">2026-09-18T14:48:42Z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